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omps" sheetId="2" state="visible" r:id="rId2"/>
    <sheet name="Pro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-"/>
    <numFmt numFmtId="165" formatCode="0.0%"/>
    <numFmt numFmtId="166" formatCode="0.0x"/>
    <numFmt numFmtId="167" formatCode="0.0"/>
  </numFmts>
  <fonts count="11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i val="1"/>
      <color rgb="00595959"/>
    </font>
    <font>
      <name val="Arial"/>
      <b val="1"/>
      <sz val="12"/>
    </font>
    <font>
      <name val="Arial"/>
      <b val="1"/>
      <color rgb="00FFFFFF"/>
    </font>
    <font>
      <name val="Arial"/>
      <b val="1"/>
    </font>
    <font>
      <name val="Arial"/>
    </font>
    <font>
      <name val="Arial"/>
      <color rgb="000000FF"/>
    </font>
    <font>
      <name val="Arial"/>
      <color rgb="00000000"/>
    </font>
    <font>
      <name val="Arial"/>
      <b val="1"/>
      <i val="1"/>
    </font>
    <font>
      <name val="Arial"/>
      <b val="1"/>
      <i val="1"/>
      <color rgb="000000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6" fillId="0" borderId="0" pivotButton="0" quotePrefix="0" xfId="0"/>
    <xf numFmtId="164" fontId="7" fillId="0" borderId="0" pivotButton="0" quotePrefix="0" xfId="0"/>
    <xf numFmtId="166" fontId="8" fillId="0" borderId="0" pivotButton="0" quotePrefix="0" xfId="0"/>
    <xf numFmtId="165" fontId="7" fillId="0" borderId="0" pivotButton="0" quotePrefix="0" xfId="0"/>
    <xf numFmtId="165" fontId="0" fillId="0" borderId="0" pivotButton="0" quotePrefix="0" xfId="0"/>
    <xf numFmtId="167" fontId="8" fillId="0" borderId="0" pivotButton="0" quotePrefix="0" xfId="0"/>
    <xf numFmtId="0" fontId="9" fillId="0" borderId="0" pivotButton="0" quotePrefix="0" xfId="0"/>
    <xf numFmtId="166" fontId="10" fillId="0" borderId="0" pivotButton="0" quotePrefix="0" xfId="0"/>
    <xf numFmtId="165" fontId="10" fillId="0" borderId="0" pivotButton="0" quotePrefix="0" xfId="0"/>
    <xf numFmtId="167" fontId="10" fillId="0" borderId="0" pivotButton="0" quotePrefix="0" xfId="0"/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1" t="inlineStr">
        <is>
          <t>CEE Software &amp; IT Services — Comparable Companies</t>
        </is>
      </c>
    </row>
    <row r="4">
      <c r="B4" t="inlineStr">
        <is>
          <t>Tomasz Szymula</t>
        </is>
      </c>
    </row>
    <row r="5">
      <c r="B5" s="2" t="inlineStr">
        <is>
          <t>FX as of 2026-05-22 · all monetary values in EUR millions</t>
        </is>
      </c>
    </row>
    <row r="7">
      <c r="B7" s="3" t="inlineStr">
        <is>
          <t>Methodology</t>
        </is>
      </c>
    </row>
    <row r="8">
      <c r="B8" s="4" t="inlineStr">
        <is>
          <t>Market data sourced from Yahoo Finance (yfinance); Polish names with incomplete coverage backfilled from most recent annual reports. Business-model classifications extracted from annual report excerpts via Claude with Pydantic-validated structured outputs. Multiples computed on an EUR-normalised basis at a single spot rate dated 2026-05-22. EV/EBITDA shown as 'n/m' where LTM EBITDA is non-positive and excluded from peer statistics. Multiples and summary statistics are live Excel formulas over the hardcoded input block on the Comps sheet.</t>
        </is>
      </c>
    </row>
    <row r="9"/>
    <row r="10"/>
    <row r="11"/>
    <row r="12"/>
    <row r="13"/>
    <row r="14"/>
    <row r="16">
      <c r="B16" s="3" t="inlineStr">
        <is>
          <t>Data sources</t>
        </is>
      </c>
    </row>
    <row r="17">
      <c r="B17" t="inlineStr">
        <is>
          <t>Market data: Yahoo Finance · Classifications: Claude (Anthropic)</t>
        </is>
      </c>
    </row>
    <row r="18">
      <c r="B18" t="inlineStr">
        <is>
          <t>Fallback financials: company annual reports (see README)</t>
        </is>
      </c>
    </row>
  </sheetData>
  <mergeCells count="1">
    <mergeCell ref="B8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5" t="inlineStr">
        <is>
          <t>Company</t>
        </is>
      </c>
      <c r="B1" s="5" t="inlineStr">
        <is>
          <t>Ticker</t>
        </is>
      </c>
      <c r="C1" s="5" t="inlineStr">
        <is>
          <t>Ccy</t>
        </is>
      </c>
      <c r="D1" s="5" t="inlineStr">
        <is>
          <t>EV (€mm)</t>
        </is>
      </c>
      <c r="E1" s="5" t="inlineStr">
        <is>
          <t>LTM Rev (€mm)</t>
        </is>
      </c>
      <c r="F1" s="5" t="inlineStr">
        <is>
          <t>LTM EBITDA (€mm)</t>
        </is>
      </c>
      <c r="G1" s="5" t="inlineStr">
        <is>
          <t>EV/Rev</t>
        </is>
      </c>
      <c r="H1" s="5" t="inlineStr">
        <is>
          <t>EV/EBITDA</t>
        </is>
      </c>
      <c r="I1" s="5" t="inlineStr">
        <is>
          <t>Rev Growth</t>
        </is>
      </c>
      <c r="J1" s="5" t="inlineStr">
        <is>
          <t>EBITDA Mgn</t>
        </is>
      </c>
      <c r="K1" s="5" t="inlineStr">
        <is>
          <t>Rule of 40</t>
        </is>
      </c>
    </row>
    <row r="2">
      <c r="A2" s="6" t="inlineStr">
        <is>
          <t>Pure SaaS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7" t="inlineStr">
        <is>
          <t>Klaviyo</t>
        </is>
      </c>
      <c r="B3" s="7" t="inlineStr">
        <is>
          <t>KVYO</t>
        </is>
      </c>
      <c r="C3" s="7" t="inlineStr">
        <is>
          <t>USD</t>
        </is>
      </c>
      <c r="D3" s="8" t="n">
        <v>3087.391540962401</v>
      </c>
      <c r="E3" s="8" t="n">
        <v>1130.7201480064</v>
      </c>
      <c r="F3" s="8" t="n">
        <v>-25.1495762</v>
      </c>
      <c r="G3" s="9">
        <f>IFERROR(D3/E3,"n/m")</f>
        <v/>
      </c>
      <c r="H3" s="9">
        <f>IF(F3&lt;=0,"n/m",IFERROR(D3/F3,"n/m"))</f>
        <v/>
      </c>
      <c r="I3" s="10" t="n">
        <v>0.279</v>
      </c>
      <c r="J3" s="11">
        <f>IF(ISBLANK(F3),"n/m",IFERROR(F3/E3,"n/m"))</f>
        <v/>
      </c>
      <c r="K3" s="12">
        <f>IFERROR((I3+J3)*100,"n/m")</f>
        <v/>
      </c>
    </row>
    <row r="4">
      <c r="A4" s="7" t="inlineStr">
        <is>
          <t>Trustpilot</t>
        </is>
      </c>
      <c r="B4" s="7" t="inlineStr">
        <is>
          <t>TRST.L</t>
        </is>
      </c>
      <c r="C4" s="7" t="inlineStr">
        <is>
          <t>USD</t>
        </is>
      </c>
      <c r="D4" s="8" t="n">
        <v>760.0290579335999</v>
      </c>
      <c r="E4" s="8" t="n">
        <v>224.946785</v>
      </c>
      <c r="F4" s="8" t="n">
        <v>15.484749</v>
      </c>
      <c r="G4" s="9">
        <f>IFERROR(D4/E4,"n/m")</f>
        <v/>
      </c>
      <c r="H4" s="9">
        <f>IF(F4&lt;=0,"n/m",IFERROR(D4/F4,"n/m"))</f>
        <v/>
      </c>
      <c r="I4" s="10" t="n">
        <v>0.246</v>
      </c>
      <c r="J4" s="11">
        <f>IF(ISBLANK(F4),"n/m",IFERROR(F4/E4,"n/m"))</f>
        <v/>
      </c>
      <c r="K4" s="12">
        <f>IFERROR((I4+J4)*100,"n/m")</f>
        <v/>
      </c>
    </row>
    <row r="5">
      <c r="A5" s="13" t="inlineStr">
        <is>
          <t>Pure SaaS — Average</t>
        </is>
      </c>
      <c r="G5" s="14">
        <f>IFERROR(AVERAGE(G3:G4),"")</f>
        <v/>
      </c>
      <c r="H5" s="14">
        <f>IFERROR(AVERAGE(H3:H4),"")</f>
        <v/>
      </c>
      <c r="I5" s="15">
        <f>IFERROR(AVERAGE(I3:I4),"")</f>
        <v/>
      </c>
      <c r="J5" s="15">
        <f>IFERROR(AVERAGE(J3:J4),"")</f>
        <v/>
      </c>
      <c r="K5" s="16">
        <f>IFERROR(AVERAGE(K3:K4),"")</f>
        <v/>
      </c>
    </row>
    <row r="6">
      <c r="A6" s="13" t="inlineStr">
        <is>
          <t>Pure SaaS — Median</t>
        </is>
      </c>
      <c r="G6" s="14">
        <f>IFERROR(MEDIAN(G3:G4),"")</f>
        <v/>
      </c>
      <c r="H6" s="14">
        <f>IFERROR(MEDIAN(H3:H4),"")</f>
        <v/>
      </c>
      <c r="I6" s="15">
        <f>IFERROR(MEDIAN(I3:I4),"")</f>
        <v/>
      </c>
      <c r="J6" s="15">
        <f>IFERROR(MEDIAN(J3:J4),"")</f>
        <v/>
      </c>
      <c r="K6" s="16">
        <f>IFERROR(MEDIAN(K3:K4),"")</f>
        <v/>
      </c>
    </row>
    <row r="8">
      <c r="A8" s="6" t="inlineStr">
        <is>
          <t>Hybrid SaaS / Services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7" t="inlineStr">
        <is>
          <t>Asseco Poland</t>
        </is>
      </c>
      <c r="B9" s="7" t="inlineStr">
        <is>
          <t>ASE.WA</t>
        </is>
      </c>
      <c r="C9" s="7" t="inlineStr">
        <is>
          <t>PLN</t>
        </is>
      </c>
      <c r="D9" s="8" t="n">
        <v>737.1012812288</v>
      </c>
      <c r="E9" s="8" t="n">
        <v>431.8267692544</v>
      </c>
      <c r="F9" s="8" t="n">
        <v>75.0023138304</v>
      </c>
      <c r="G9" s="9">
        <f>IFERROR(D9/E9,"n/m")</f>
        <v/>
      </c>
      <c r="H9" s="9">
        <f>IF(F9&lt;=0,"n/m",IFERROR(D9/F9,"n/m"))</f>
        <v/>
      </c>
      <c r="I9" s="10" t="n">
        <v>0.08500000000000001</v>
      </c>
      <c r="J9" s="11">
        <f>IF(ISBLANK(F9),"n/m",IFERROR(F9/E9,"n/m"))</f>
        <v/>
      </c>
      <c r="K9" s="12">
        <f>IFERROR((I9+J9)*100,"n/m")</f>
        <v/>
      </c>
    </row>
    <row r="10">
      <c r="A10" s="7" t="inlineStr">
        <is>
          <t>HubSpot</t>
        </is>
      </c>
      <c r="B10" s="7" t="inlineStr">
        <is>
          <t>HUBS</t>
        </is>
      </c>
      <c r="C10" s="7" t="inlineStr">
        <is>
          <t>USD</t>
        </is>
      </c>
      <c r="D10" s="8" t="n">
        <v>7665.016230412801</v>
      </c>
      <c r="E10" s="8" t="n">
        <v>2841.9934783744</v>
      </c>
      <c r="F10" s="8" t="n">
        <v>75.7916852</v>
      </c>
      <c r="G10" s="9">
        <f>IFERROR(D10/E10,"n/m")</f>
        <v/>
      </c>
      <c r="H10" s="9">
        <f>IF(F10&lt;=0,"n/m",IFERROR(D10/F10,"n/m"))</f>
        <v/>
      </c>
      <c r="I10" s="10" t="n">
        <v>0.234</v>
      </c>
      <c r="J10" s="11">
        <f>IF(ISBLANK(F10),"n/m",IFERROR(F10/E10,"n/m"))</f>
        <v/>
      </c>
      <c r="K10" s="12">
        <f>IFERROR((I10+J10)*100,"n/m")</f>
        <v/>
      </c>
    </row>
    <row r="11">
      <c r="A11" s="7" t="inlineStr">
        <is>
          <t>Vercom</t>
        </is>
      </c>
      <c r="B11" s="7" t="inlineStr">
        <is>
          <t>VRC.WA</t>
        </is>
      </c>
      <c r="C11" s="7" t="inlineStr">
        <is>
          <t>PLN</t>
        </is>
      </c>
      <c r="D11" s="8" t="n">
        <v>664.526160064</v>
      </c>
      <c r="E11" s="8" t="n">
        <v>113.8704257152</v>
      </c>
      <c r="F11" s="8" t="n">
        <v>29.333378</v>
      </c>
      <c r="G11" s="9">
        <f>IFERROR(D11/E11,"n/m")</f>
        <v/>
      </c>
      <c r="H11" s="9">
        <f>IF(F11&lt;=0,"n/m",IFERROR(D11/F11,"n/m"))</f>
        <v/>
      </c>
      <c r="I11" s="10" t="n">
        <v>0.11</v>
      </c>
      <c r="J11" s="11">
        <f>IF(ISBLANK(F11),"n/m",IFERROR(F11/E11,"n/m"))</f>
        <v/>
      </c>
      <c r="K11" s="12">
        <f>IFERROR((I11+J11)*100,"n/m")</f>
        <v/>
      </c>
    </row>
    <row r="12">
      <c r="A12" s="13" t="inlineStr">
        <is>
          <t>Hybrid SaaS / Services — Average</t>
        </is>
      </c>
      <c r="G12" s="14">
        <f>IFERROR(AVERAGE(G9:G11),"")</f>
        <v/>
      </c>
      <c r="H12" s="14">
        <f>IFERROR(AVERAGE(H9:H11),"")</f>
        <v/>
      </c>
      <c r="I12" s="15">
        <f>IFERROR(AVERAGE(I9:I11),"")</f>
        <v/>
      </c>
      <c r="J12" s="15">
        <f>IFERROR(AVERAGE(J9:J11),"")</f>
        <v/>
      </c>
      <c r="K12" s="16">
        <f>IFERROR(AVERAGE(K9:K11),"")</f>
        <v/>
      </c>
    </row>
    <row r="13">
      <c r="A13" s="13" t="inlineStr">
        <is>
          <t>Hybrid SaaS / Services — Median</t>
        </is>
      </c>
      <c r="G13" s="14">
        <f>IFERROR(MEDIAN(G9:G11),"")</f>
        <v/>
      </c>
      <c r="H13" s="14">
        <f>IFERROR(MEDIAN(H9:H11),"")</f>
        <v/>
      </c>
      <c r="I13" s="15">
        <f>IFERROR(MEDIAN(I9:I11),"")</f>
        <v/>
      </c>
      <c r="J13" s="15">
        <f>IFERROR(MEDIAN(J9:J11),"")</f>
        <v/>
      </c>
      <c r="K13" s="16">
        <f>IFERROR(MEDIAN(K9:K11),"")</f>
        <v/>
      </c>
    </row>
    <row r="15">
      <c r="A15" s="6" t="inlineStr">
        <is>
          <t>Transactional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7" t="inlineStr">
        <is>
          <t>Sinch</t>
        </is>
      </c>
      <c r="B16" s="7" t="inlineStr">
        <is>
          <t>SINCH.ST</t>
        </is>
      </c>
      <c r="C16" s="7" t="inlineStr">
        <is>
          <t>SEK</t>
        </is>
      </c>
      <c r="D16" s="8" t="n">
        <v>3195.688535039999</v>
      </c>
      <c r="E16" s="8" t="n">
        <v>2468.57852928</v>
      </c>
      <c r="F16" s="8" t="n">
        <v>249.246</v>
      </c>
      <c r="G16" s="9">
        <f>IFERROR(D16/E16,"n/m")</f>
        <v/>
      </c>
      <c r="H16" s="9">
        <f>IF(F16&lt;=0,"n/m",IFERROR(D16/F16,"n/m"))</f>
        <v/>
      </c>
      <c r="I16" s="10" t="n">
        <v>-0.077</v>
      </c>
      <c r="J16" s="11">
        <f>IF(ISBLANK(F16),"n/m",IFERROR(F16/E16,"n/m"))</f>
        <v/>
      </c>
      <c r="K16" s="12">
        <f>IFERROR((I16+J16)*100,"n/m")</f>
        <v/>
      </c>
    </row>
    <row r="17">
      <c r="A17" s="7" t="inlineStr">
        <is>
          <t>Allegro</t>
        </is>
      </c>
      <c r="B17" s="7" t="inlineStr">
        <is>
          <t>ALE.WA</t>
        </is>
      </c>
      <c r="C17" s="7" t="inlineStr">
        <is>
          <t>PLN</t>
        </is>
      </c>
      <c r="D17" s="8" t="n">
        <v>8823.269728563202</v>
      </c>
      <c r="E17" s="8" t="n">
        <v>2792.2605727744</v>
      </c>
      <c r="F17" s="8" t="n">
        <v>773.33344</v>
      </c>
      <c r="G17" s="9">
        <f>IFERROR(D17/E17,"n/m")</f>
        <v/>
      </c>
      <c r="H17" s="9">
        <f>IF(F17&lt;=0,"n/m",IFERROR(D17/F17,"n/m"))</f>
        <v/>
      </c>
      <c r="I17" s="10" t="n">
        <v>0.117</v>
      </c>
      <c r="J17" s="11">
        <f>IF(ISBLANK(F17),"n/m",IFERROR(F17/E17,"n/m"))</f>
        <v/>
      </c>
      <c r="K17" s="12">
        <f>IFERROR((I17+J17)*100,"n/m")</f>
        <v/>
      </c>
    </row>
    <row r="18">
      <c r="A18" s="13" t="inlineStr">
        <is>
          <t>Transactional — Average</t>
        </is>
      </c>
      <c r="G18" s="14">
        <f>IFERROR(AVERAGE(G16:G17),"")</f>
        <v/>
      </c>
      <c r="H18" s="14">
        <f>IFERROR(AVERAGE(H16:H17),"")</f>
        <v/>
      </c>
      <c r="I18" s="15">
        <f>IFERROR(AVERAGE(I16:I17),"")</f>
        <v/>
      </c>
      <c r="J18" s="15">
        <f>IFERROR(AVERAGE(J16:J17),"")</f>
        <v/>
      </c>
      <c r="K18" s="16">
        <f>IFERROR(AVERAGE(K16:K17),"")</f>
        <v/>
      </c>
    </row>
    <row r="19">
      <c r="A19" s="13" t="inlineStr">
        <is>
          <t>Transactional — Median</t>
        </is>
      </c>
      <c r="G19" s="14">
        <f>IFERROR(MEDIAN(G16:G17),"")</f>
        <v/>
      </c>
      <c r="H19" s="14">
        <f>IFERROR(MEDIAN(H16:H17),"")</f>
        <v/>
      </c>
      <c r="I19" s="15">
        <f>IFERROR(MEDIAN(I16:I17),"")</f>
        <v/>
      </c>
      <c r="J19" s="15">
        <f>IFERROR(MEDIAN(J16:J17),"")</f>
        <v/>
      </c>
      <c r="K19" s="16">
        <f>IFERROR(MEDIAN(K16:K17),"")</f>
        <v/>
      </c>
    </row>
    <row r="21">
      <c r="A21" s="6" t="inlineStr">
        <is>
          <t>IT Services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7" t="inlineStr">
        <is>
          <t>Endava</t>
        </is>
      </c>
      <c r="B22" s="7" t="inlineStr">
        <is>
          <t>DAVA</t>
        </is>
      </c>
      <c r="C22" s="7" t="inlineStr">
        <is>
          <t>GBP</t>
        </is>
      </c>
      <c r="D22" s="8" t="n">
        <v>423.69367768</v>
      </c>
      <c r="E22" s="8" t="n">
        <v>841.832015232</v>
      </c>
      <c r="F22" s="8" t="n">
        <v>34.720413</v>
      </c>
      <c r="G22" s="9">
        <f>IFERROR(D22/E22,"n/m")</f>
        <v/>
      </c>
      <c r="H22" s="9">
        <f>IF(F22&lt;=0,"n/m",IFERROR(D22/F22,"n/m"))</f>
        <v/>
      </c>
      <c r="I22" s="10" t="n">
        <v>-0.08400000000000001</v>
      </c>
      <c r="J22" s="11">
        <f>IF(ISBLANK(F22),"n/m",IFERROR(F22/E22,"n/m"))</f>
        <v/>
      </c>
      <c r="K22" s="12">
        <f>IFERROR((I22+J22)*100,"n/m")</f>
        <v/>
      </c>
    </row>
    <row r="23">
      <c r="A23" s="7" t="inlineStr">
        <is>
          <t>Bechtle</t>
        </is>
      </c>
      <c r="B23" s="7" t="inlineStr">
        <is>
          <t>BC8.DE</t>
        </is>
      </c>
      <c r="C23" s="7" t="inlineStr">
        <is>
          <t>EUR</t>
        </is>
      </c>
      <c r="D23" s="8" t="n">
        <v>4112.914016</v>
      </c>
      <c r="E23" s="8" t="n">
        <v>6516.529152</v>
      </c>
      <c r="F23" s="8" t="n">
        <v>415.225984</v>
      </c>
      <c r="G23" s="9">
        <f>IFERROR(D23/E23,"n/m")</f>
        <v/>
      </c>
      <c r="H23" s="9">
        <f>IF(F23&lt;=0,"n/m",IFERROR(D23/F23,"n/m"))</f>
        <v/>
      </c>
      <c r="I23" s="10" t="n">
        <v>0.076</v>
      </c>
      <c r="J23" s="11">
        <f>IF(ISBLANK(F23),"n/m",IFERROR(F23/E23,"n/m"))</f>
        <v/>
      </c>
      <c r="K23" s="12">
        <f>IFERROR((I23+J23)*100,"n/m")</f>
        <v/>
      </c>
    </row>
    <row r="24">
      <c r="A24" s="7" t="inlineStr">
        <is>
          <t>GFT Technologies</t>
        </is>
      </c>
      <c r="B24" s="7" t="inlineStr">
        <is>
          <t>GFT.DE</t>
        </is>
      </c>
      <c r="C24" s="7" t="inlineStr">
        <is>
          <t>EUR</t>
        </is>
      </c>
      <c r="D24" s="8" t="n">
        <v>643.5804959999999</v>
      </c>
      <c r="E24" s="8" t="n">
        <v>895.8946560000001</v>
      </c>
      <c r="F24" s="8" t="n">
        <v>61.999632</v>
      </c>
      <c r="G24" s="9">
        <f>IFERROR(D24/E24,"n/m")</f>
        <v/>
      </c>
      <c r="H24" s="9">
        <f>IF(F24&lt;=0,"n/m",IFERROR(D24/F24,"n/m"))</f>
        <v/>
      </c>
      <c r="I24" s="10" t="n">
        <v>0.034</v>
      </c>
      <c r="J24" s="11">
        <f>IF(ISBLANK(F24),"n/m",IFERROR(F24/E24,"n/m"))</f>
        <v/>
      </c>
      <c r="K24" s="12">
        <f>IFERROR((I24+J24)*100,"n/m")</f>
        <v/>
      </c>
    </row>
    <row r="25">
      <c r="A25" s="7" t="inlineStr">
        <is>
          <t>Globant</t>
        </is>
      </c>
      <c r="B25" s="7" t="inlineStr">
        <is>
          <t>GLOB</t>
        </is>
      </c>
      <c r="C25" s="7" t="inlineStr">
        <is>
          <t>USD</t>
        </is>
      </c>
      <c r="D25" s="8" t="n">
        <v>1719.0300366624</v>
      </c>
      <c r="E25" s="8" t="n">
        <v>2111.9206488576</v>
      </c>
      <c r="F25" s="8" t="n">
        <v>338.4051143872</v>
      </c>
      <c r="G25" s="9">
        <f>IFERROR(D25/E25,"n/m")</f>
        <v/>
      </c>
      <c r="H25" s="9">
        <f>IF(F25&lt;=0,"n/m",IFERROR(D25/F25,"n/m"))</f>
        <v/>
      </c>
      <c r="I25" s="10" t="n">
        <v>-0.007</v>
      </c>
      <c r="J25" s="11">
        <f>IF(ISBLANK(F25),"n/m",IFERROR(F25/E25,"n/m"))</f>
        <v/>
      </c>
      <c r="K25" s="12">
        <f>IFERROR((I25+J25)*100,"n/m")</f>
        <v/>
      </c>
    </row>
    <row r="26">
      <c r="A26" s="7" t="inlineStr">
        <is>
          <t>Reply SpA</t>
        </is>
      </c>
      <c r="B26" s="7" t="inlineStr">
        <is>
          <t>REY.MI</t>
        </is>
      </c>
      <c r="C26" s="7" t="inlineStr">
        <is>
          <t>EUR</t>
        </is>
      </c>
      <c r="D26" s="8" t="n">
        <v>3429.174816</v>
      </c>
      <c r="E26" s="8" t="n">
        <v>2487.411968</v>
      </c>
      <c r="F26" s="8" t="n">
        <v>424.026496</v>
      </c>
      <c r="G26" s="9">
        <f>IFERROR(D26/E26,"n/m")</f>
        <v/>
      </c>
      <c r="H26" s="9">
        <f>IF(F26&lt;=0,"n/m",IFERROR(D26/F26,"n/m"))</f>
        <v/>
      </c>
      <c r="I26" s="10" t="n">
        <v>0.062</v>
      </c>
      <c r="J26" s="11">
        <f>IF(ISBLANK(F26),"n/m",IFERROR(F26/E26,"n/m"))</f>
        <v/>
      </c>
      <c r="K26" s="12">
        <f>IFERROR((I26+J26)*100,"n/m")</f>
        <v/>
      </c>
    </row>
    <row r="27">
      <c r="A27" s="7" t="inlineStr">
        <is>
          <t>Softcat</t>
        </is>
      </c>
      <c r="B27" s="7" t="inlineStr">
        <is>
          <t>SCT.L</t>
        </is>
      </c>
      <c r="C27" s="7" t="inlineStr">
        <is>
          <t>GBP</t>
        </is>
      </c>
      <c r="D27" s="8" t="n">
        <v>3500.235918296</v>
      </c>
      <c r="E27" s="8" t="n">
        <v>2025.179182208</v>
      </c>
      <c r="F27" s="8" t="n">
        <v>237.203512</v>
      </c>
      <c r="G27" s="9">
        <f>IFERROR(D27/E27,"n/m")</f>
        <v/>
      </c>
      <c r="H27" s="9">
        <f>IF(F27&lt;=0,"n/m",IFERROR(D27/F27,"n/m"))</f>
        <v/>
      </c>
      <c r="I27" s="10" t="n">
        <v>0.535</v>
      </c>
      <c r="J27" s="11">
        <f>IF(ISBLANK(F27),"n/m",IFERROR(F27/E27,"n/m"))</f>
        <v/>
      </c>
      <c r="K27" s="12">
        <f>IFERROR((I27+J27)*100,"n/m")</f>
        <v/>
      </c>
    </row>
    <row r="28">
      <c r="A28" s="13" t="inlineStr">
        <is>
          <t>IT Services — Average</t>
        </is>
      </c>
      <c r="G28" s="14">
        <f>IFERROR(AVERAGE(G22:G27),"")</f>
        <v/>
      </c>
      <c r="H28" s="14">
        <f>IFERROR(AVERAGE(H22:H27),"")</f>
        <v/>
      </c>
      <c r="I28" s="15">
        <f>IFERROR(AVERAGE(I22:I27),"")</f>
        <v/>
      </c>
      <c r="J28" s="15">
        <f>IFERROR(AVERAGE(J22:J27),"")</f>
        <v/>
      </c>
      <c r="K28" s="16">
        <f>IFERROR(AVERAGE(K22:K27),"")</f>
        <v/>
      </c>
    </row>
    <row r="29">
      <c r="A29" s="13" t="inlineStr">
        <is>
          <t>IT Services — Median</t>
        </is>
      </c>
      <c r="G29" s="14">
        <f>IFERROR(MEDIAN(G22:G27),"")</f>
        <v/>
      </c>
      <c r="H29" s="14">
        <f>IFERROR(MEDIAN(H22:H27),"")</f>
        <v/>
      </c>
      <c r="I29" s="15">
        <f>IFERROR(MEDIAN(I22:I27),"")</f>
        <v/>
      </c>
      <c r="J29" s="15">
        <f>IFERROR(MEDIAN(J22:J27),"")</f>
        <v/>
      </c>
      <c r="K29" s="16">
        <f>IFERROR(MEDIAN(K22:K27),"")</f>
        <v/>
      </c>
    </row>
  </sheetData>
  <conditionalFormatting sqref="G2:G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Company</t>
        </is>
      </c>
      <c r="B1" s="5" t="inlineStr">
        <is>
          <t>Ticker</t>
        </is>
      </c>
      <c r="C1" s="5" t="inlineStr">
        <is>
          <t>Description</t>
        </is>
      </c>
      <c r="D1" s="5" t="inlineStr">
        <is>
          <t>Revenue Model</t>
        </is>
      </c>
      <c r="E1" s="5" t="inlineStr">
        <is>
          <t>End Market</t>
        </is>
      </c>
      <c r="F1" s="5" t="inlineStr">
        <is>
          <t>Customer</t>
        </is>
      </c>
      <c r="G1" s="5" t="inlineStr">
        <is>
          <t>Geography</t>
        </is>
      </c>
      <c r="H1" s="5" t="inlineStr">
        <is>
          <t>R&amp;D Intensity</t>
        </is>
      </c>
    </row>
    <row r="2">
      <c r="A2" s="17" t="inlineStr">
        <is>
          <t>Klaviyo</t>
        </is>
      </c>
      <c r="B2" s="17" t="inlineStr">
        <is>
          <t>KVYO</t>
        </is>
      </c>
      <c r="C2" s="18" t="inlineStr">
        <is>
          <t>Cloud-based SaaS marketing automation and customer data platform enabling consumer-focused businesses to deliver personalized experiences across email, SMS, and digital channels.</t>
        </is>
      </c>
      <c r="D2" s="17" t="inlineStr">
        <is>
          <t>pure_saas</t>
        </is>
      </c>
      <c r="E2" s="17" t="inlineStr">
        <is>
          <t>horizontal</t>
        </is>
      </c>
      <c r="F2" s="17" t="inlineStr">
        <is>
          <t>mixed</t>
        </is>
      </c>
      <c r="G2" s="17" t="inlineStr">
        <is>
          <t>global</t>
        </is>
      </c>
      <c r="H2" s="17" t="inlineStr">
        <is>
          <t>high</t>
        </is>
      </c>
    </row>
    <row r="3">
      <c r="A3" s="17" t="inlineStr">
        <is>
          <t>Trustpilot</t>
        </is>
      </c>
      <c r="B3" s="17" t="inlineStr">
        <is>
          <t>TRST.L</t>
        </is>
      </c>
      <c r="C3" s="18" t="inlineStr">
        <is>
          <t>Operates a global online consumer review platform sold to businesses via annual subscription plans, serving customers across the UK, North America and Europe.</t>
        </is>
      </c>
      <c r="D3" s="17" t="inlineStr">
        <is>
          <t>pure_saas</t>
        </is>
      </c>
      <c r="E3" s="17" t="inlineStr">
        <is>
          <t>horizontal</t>
        </is>
      </c>
      <c r="F3" s="17" t="inlineStr">
        <is>
          <t>mixed</t>
        </is>
      </c>
      <c r="G3" s="17" t="inlineStr">
        <is>
          <t>global</t>
        </is>
      </c>
      <c r="H3" s="17" t="inlineStr">
        <is>
          <t>medium</t>
        </is>
      </c>
    </row>
    <row r="4">
      <c r="A4" s="17" t="inlineStr">
        <is>
          <t>Asseco Poland</t>
        </is>
      </c>
      <c r="B4" s="17" t="inlineStr">
        <is>
          <t>ASE.WA</t>
        </is>
      </c>
      <c r="C4" s="18" t="inlineStr">
        <is>
          <t>Diversified IT group providing proprietary software, ERP solutions, third-party software resale and IT services to public sector, banking and enterprise customers across Central Europe.</t>
        </is>
      </c>
      <c r="D4" s="17" t="inlineStr">
        <is>
          <t>hybrid_saas_services</t>
        </is>
      </c>
      <c r="E4" s="17" t="inlineStr">
        <is>
          <t>horizontal</t>
        </is>
      </c>
      <c r="F4" s="17" t="inlineStr">
        <is>
          <t>enterprise</t>
        </is>
      </c>
      <c r="G4" s="17" t="inlineStr">
        <is>
          <t>cee</t>
        </is>
      </c>
      <c r="H4" s="17" t="inlineStr">
        <is>
          <t>medium</t>
        </is>
      </c>
    </row>
    <row r="5">
      <c r="A5" s="17" t="inlineStr">
        <is>
          <t>HubSpot</t>
        </is>
      </c>
      <c r="B5" s="17" t="inlineStr">
        <is>
          <t>HUBS</t>
        </is>
      </c>
      <c r="C5" s="18" t="inlineStr">
        <is>
          <t>Provider of an AI-powered, agentic customer platform unifying marketing, sales, service, operations, content, and commerce hubs around a Smart CRM for growing businesses.</t>
        </is>
      </c>
      <c r="D5" s="17" t="inlineStr">
        <is>
          <t>hybrid_saas_services</t>
        </is>
      </c>
      <c r="E5" s="17" t="inlineStr">
        <is>
          <t>horizontal</t>
        </is>
      </c>
      <c r="F5" s="17" t="inlineStr">
        <is>
          <t>mid_market</t>
        </is>
      </c>
      <c r="G5" s="17" t="inlineStr">
        <is>
          <t>global</t>
        </is>
      </c>
      <c r="H5" s="17" t="inlineStr">
        <is>
          <t>high</t>
        </is>
      </c>
    </row>
    <row r="6">
      <c r="A6" s="17" t="inlineStr">
        <is>
          <t>Vercom</t>
        </is>
      </c>
      <c r="B6" s="17" t="inlineStr">
        <is>
          <t>VRC.WA</t>
        </is>
      </c>
      <c r="C6" s="18" t="inlineStr">
        <is>
          <t>Vercom operates a multichannel CPaaS platform delivering SMS, email, push, voice and OTT messaging services to business customers across Poland, Czechia and global markets.</t>
        </is>
      </c>
      <c r="D6" s="17" t="inlineStr">
        <is>
          <t>hybrid_saas_services</t>
        </is>
      </c>
      <c r="E6" s="17" t="inlineStr">
        <is>
          <t>horizontal</t>
        </is>
      </c>
      <c r="F6" s="17" t="inlineStr">
        <is>
          <t>mixed</t>
        </is>
      </c>
      <c r="G6" s="17" t="inlineStr">
        <is>
          <t>global</t>
        </is>
      </c>
      <c r="H6" s="17" t="inlineStr">
        <is>
          <t>medium</t>
        </is>
      </c>
    </row>
    <row r="7">
      <c r="A7" s="17" t="inlineStr">
        <is>
          <t>Sinch</t>
        </is>
      </c>
      <c r="B7" s="17" t="inlineStr">
        <is>
          <t>SINCH.ST</t>
        </is>
      </c>
      <c r="C7" s="18" t="inlineStr">
        <is>
          <t>Global CPaaS provider delivering cloud-based messaging, voice and email APIs and applications enabling enterprises to engage customers across digital communication channels worldwide.</t>
        </is>
      </c>
      <c r="D7" s="17" t="inlineStr">
        <is>
          <t>transactional</t>
        </is>
      </c>
      <c r="E7" s="17" t="inlineStr">
        <is>
          <t>horizontal</t>
        </is>
      </c>
      <c r="F7" s="17" t="inlineStr">
        <is>
          <t>mixed</t>
        </is>
      </c>
      <c r="G7" s="17" t="inlineStr">
        <is>
          <t>global</t>
        </is>
      </c>
      <c r="H7" s="17" t="inlineStr">
        <is>
          <t>medium</t>
        </is>
      </c>
    </row>
    <row r="8">
      <c r="A8" s="17" t="inlineStr">
        <is>
          <t>Allegro</t>
        </is>
      </c>
      <c r="B8" s="17" t="inlineStr">
        <is>
          <t>ALE.WA</t>
        </is>
      </c>
      <c r="C8" s="18" t="inlineStr">
        <is>
          <t>Leading online marketplace operator in Poland and CEE offering 3P/1P e-commerce, price comparison, consumer lending, payments, and logistics services to consumers and merchants.</t>
        </is>
      </c>
      <c r="D8" s="17" t="inlineStr">
        <is>
          <t>transactional</t>
        </is>
      </c>
      <c r="E8" s="17" t="inlineStr">
        <is>
          <t>horizontal</t>
        </is>
      </c>
      <c r="F8" s="17" t="inlineStr">
        <is>
          <t>consumer</t>
        </is>
      </c>
      <c r="G8" s="17" t="inlineStr">
        <is>
          <t>cee</t>
        </is>
      </c>
      <c r="H8" s="17" t="inlineStr">
        <is>
          <t>medium</t>
        </is>
      </c>
    </row>
    <row r="9">
      <c r="A9" s="17" t="inlineStr">
        <is>
          <t>Endava</t>
        </is>
      </c>
      <c r="B9" s="17" t="inlineStr">
        <is>
          <t>DAVA</t>
        </is>
      </c>
      <c r="C9" s="18" t="inlineStr">
        <is>
          <t>Technology-driven business transformation services provider offering AI-native digital engineering and consulting to enterprise clients across payments, banking, insurance, TMT, healthcare and mobility verticals.</t>
        </is>
      </c>
      <c r="D9" s="17" t="inlineStr">
        <is>
          <t>it_services</t>
        </is>
      </c>
      <c r="E9" s="17" t="inlineStr">
        <is>
          <t>horizontal</t>
        </is>
      </c>
      <c r="F9" s="17" t="inlineStr">
        <is>
          <t>enterprise</t>
        </is>
      </c>
      <c r="G9" s="17" t="inlineStr">
        <is>
          <t>global</t>
        </is>
      </c>
      <c r="H9" s="17" t="inlineStr">
        <is>
          <t>low</t>
        </is>
      </c>
    </row>
    <row r="10">
      <c r="A10" s="17" t="inlineStr">
        <is>
          <t>Bechtle</t>
        </is>
      </c>
      <c r="B10" s="17" t="inlineStr">
        <is>
          <t>BC8.DE</t>
        </is>
      </c>
      <c r="C10" s="18" t="inlineStr">
        <is>
          <t>European IT reseller and system integrator providing hardware trading, software licensing and managed services to commercial and public-sector clients across 14 countries.</t>
        </is>
      </c>
      <c r="D10" s="17" t="inlineStr">
        <is>
          <t>it_services</t>
        </is>
      </c>
      <c r="E10" s="17" t="inlineStr">
        <is>
          <t>horizontal</t>
        </is>
      </c>
      <c r="F10" s="17" t="inlineStr">
        <is>
          <t>mixed</t>
        </is>
      </c>
      <c r="G10" s="17" t="inlineStr">
        <is>
          <t>europe</t>
        </is>
      </c>
      <c r="H10" s="17" t="inlineStr">
        <is>
          <t>low</t>
        </is>
      </c>
    </row>
    <row r="11">
      <c r="A11" s="17" t="inlineStr">
        <is>
          <t>GFT Technologies</t>
        </is>
      </c>
      <c r="B11" s="17" t="inlineStr">
        <is>
          <t>GFT.DE</t>
        </is>
      </c>
      <c r="C11" s="18" t="inlineStr">
        <is>
          <t>Global IT services provider delivering digitalization, cloud, and SAP consulting solutions primarily to banking, insurance, and industrial enterprise clients.</t>
        </is>
      </c>
      <c r="D11" s="17" t="inlineStr">
        <is>
          <t>it_services</t>
        </is>
      </c>
      <c r="E11" s="17" t="inlineStr">
        <is>
          <t>vertical_specific</t>
        </is>
      </c>
      <c r="F11" s="17" t="inlineStr">
        <is>
          <t>enterprise</t>
        </is>
      </c>
      <c r="G11" s="17" t="inlineStr">
        <is>
          <t>global</t>
        </is>
      </c>
      <c r="H11" s="17" t="inlineStr">
        <is>
          <t>low</t>
        </is>
      </c>
    </row>
    <row r="12">
      <c r="A12" s="17" t="inlineStr">
        <is>
          <t>Globant</t>
        </is>
      </c>
      <c r="B12" s="17" t="inlineStr">
        <is>
          <t>GLOB</t>
        </is>
      </c>
      <c r="C12" s="18" t="inlineStr">
        <is>
          <t>Globally distributed digital engineering and IT services provider delivering software development, AI, and technology consulting solutions to enterprise clients across multiple industries.</t>
        </is>
      </c>
      <c r="D12" s="17" t="inlineStr">
        <is>
          <t>it_services</t>
        </is>
      </c>
      <c r="E12" s="17" t="inlineStr">
        <is>
          <t>horizontal</t>
        </is>
      </c>
      <c r="F12" s="17" t="inlineStr">
        <is>
          <t>enterprise</t>
        </is>
      </c>
      <c r="G12" s="17" t="inlineStr">
        <is>
          <t>global</t>
        </is>
      </c>
      <c r="H12" s="17" t="inlineStr">
        <is>
          <t>low</t>
        </is>
      </c>
    </row>
    <row r="13">
      <c r="A13" s="17" t="inlineStr">
        <is>
          <t>Reply SpA</t>
        </is>
      </c>
      <c r="B13" s="17" t="inlineStr">
        <is>
          <t>REY.MI</t>
        </is>
      </c>
      <c r="C13" s="18" t="inlineStr">
        <is>
          <t>Multinational IT consulting and systems integration group delivering applications, technologies and process services across Europe and the Americas to large enterprise clients.</t>
        </is>
      </c>
      <c r="D13" s="17" t="inlineStr">
        <is>
          <t>it_services</t>
        </is>
      </c>
      <c r="E13" s="17" t="inlineStr">
        <is>
          <t>horizontal</t>
        </is>
      </c>
      <c r="F13" s="17" t="inlineStr">
        <is>
          <t>enterprise</t>
        </is>
      </c>
      <c r="G13" s="17" t="inlineStr">
        <is>
          <t>europe</t>
        </is>
      </c>
      <c r="H13" s="17" t="inlineStr">
        <is>
          <t>low</t>
        </is>
      </c>
    </row>
    <row r="14">
      <c r="A14" s="17" t="inlineStr">
        <is>
          <t>Softcat</t>
        </is>
      </c>
      <c r="B14" s="17" t="inlineStr">
        <is>
          <t>SCT.L</t>
        </is>
      </c>
      <c r="C14" s="18" t="inlineStr">
        <is>
          <t>UK's largest value-added reseller providing IT infrastructure products, software, hardware and services to corporate and public sector customers across multiple technology areas.</t>
        </is>
      </c>
      <c r="D14" s="17" t="inlineStr">
        <is>
          <t>it_services</t>
        </is>
      </c>
      <c r="E14" s="17" t="inlineStr">
        <is>
          <t>horizontal</t>
        </is>
      </c>
      <c r="F14" s="17" t="inlineStr">
        <is>
          <t>mixed</t>
        </is>
      </c>
      <c r="G14" s="17" t="inlineStr">
        <is>
          <t>europe</t>
        </is>
      </c>
      <c r="H14" s="1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2026-05-23T14:25:57Z</dcterms:created>
  <dcterms:modified xsi:type="dcterms:W3CDTF">2026-05-23T14:25:57Z</dcterms:modified>
</cp:coreProperties>
</file>